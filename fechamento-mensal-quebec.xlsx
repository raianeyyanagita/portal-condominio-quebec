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Atlas\Documents\"/>
    </mc:Choice>
  </mc:AlternateContent>
  <bookViews>
    <workbookView xWindow="360" yWindow="330" windowWidth="19815" windowHeight="7665"/>
  </bookViews>
  <sheets>
    <sheet name="OUT26" sheetId="1" r:id="rId1"/>
    <sheet name="Plan2" sheetId="2" r:id="rId2"/>
    <sheet name="Plan3" sheetId="3" r:id="rId3"/>
  </sheets>
  <calcPr calcId="162913"/>
</workbook>
</file>

<file path=xl/calcChain.xml><?xml version="1.0" encoding="utf-8"?>
<calcChain xmlns="http://schemas.openxmlformats.org/spreadsheetml/2006/main">
  <c r="C54" i="1" l="1"/>
  <c r="C8" i="1"/>
  <c r="C2" i="1" l="1"/>
  <c r="C56" i="1" l="1"/>
  <c r="C21" i="1"/>
  <c r="C49" i="1" s="1"/>
  <c r="C9" i="1"/>
  <c r="C4" i="1"/>
</calcChain>
</file>

<file path=xl/sharedStrings.xml><?xml version="1.0" encoding="utf-8"?>
<sst xmlns="http://schemas.openxmlformats.org/spreadsheetml/2006/main" count="50" uniqueCount="48">
  <si>
    <t>SAAE - ÁGUA</t>
  </si>
  <si>
    <t>CEMIG - ENERGIA BLOCOS</t>
  </si>
  <si>
    <t>CEMIG - ENERGIA  PRINCIPAL</t>
  </si>
  <si>
    <t>PLANO VIVO PORTEIRO</t>
  </si>
  <si>
    <t>PAGAMENTO FUNCIONARIOS</t>
  </si>
  <si>
    <t>MATERIAL LIMPEZA</t>
  </si>
  <si>
    <t>MATERIAL ELETRICO</t>
  </si>
  <si>
    <t>MATERIAL HIDRÁULICO</t>
  </si>
  <si>
    <t>IMPRESSÃO BOLETOS E BALANCETES E ACORDOS</t>
  </si>
  <si>
    <t>MATERIAL ESCRITORIO</t>
  </si>
  <si>
    <t>Receita PRÓ CONDOMINO - GARANTIDORA</t>
  </si>
  <si>
    <t>Total de Receitas</t>
  </si>
  <si>
    <t>PAGAMENTO SINDICO</t>
  </si>
  <si>
    <t>SALDO SICOOB</t>
  </si>
  <si>
    <t>SALDO CORA</t>
  </si>
  <si>
    <t>RECEITAS</t>
  </si>
  <si>
    <t xml:space="preserve">Despesas  </t>
  </si>
  <si>
    <t xml:space="preserve">ACORDOS/RECEITAS CONSEGUIDAS PELO SÍNDICO </t>
  </si>
  <si>
    <t>MATERIAL SALÃO FESTAS</t>
  </si>
  <si>
    <t>CÓPIA DE CHAVES</t>
  </si>
  <si>
    <t>TOTAL DE DESPESAS EM AGOSTO</t>
  </si>
  <si>
    <t>MATERIAL FERRAMENTAL</t>
  </si>
  <si>
    <t>FUNDO DE RESERVAS MELHORIAS FUTURAS</t>
  </si>
  <si>
    <t>TOTAL SALDO EM 30.09</t>
  </si>
  <si>
    <t>DEDETIZAÇÃO EMERGENCIAL</t>
  </si>
  <si>
    <t>LIMPEZA LOTE VIZINHO - JARDINAGEM</t>
  </si>
  <si>
    <t>LIMPEZA QUEBEC - JARDINAGEM</t>
  </si>
  <si>
    <t>MATERIAL JARDIM</t>
  </si>
  <si>
    <t>MATERIAL CIVIL</t>
  </si>
  <si>
    <t>MELHORIA - CÂMERAS MURO BLOCO 7 A 10 - 1 DE 2</t>
  </si>
  <si>
    <t xml:space="preserve">MELHORIA - TROCA MOTOR PORTÃO - 3 DE 4 </t>
  </si>
  <si>
    <t>MELHORIA - PINTURA BLOCO 2 - 4 DE 10 - LUIDAR</t>
  </si>
  <si>
    <t>MELHORIA - PLACAS SINALIZAÇÃO</t>
  </si>
  <si>
    <t>MELHORIA - FOGÃO SALÃO FESTAS</t>
  </si>
  <si>
    <t>MELHORIA - BOTIJÃO SALÃO FESTAS</t>
  </si>
  <si>
    <t>ORNAMENTAÇÃO NATAL</t>
  </si>
  <si>
    <t xml:space="preserve">SEMANA DAS CRIANÇAS </t>
  </si>
  <si>
    <t>DESPESA ASSEMBLEIA - 18.10</t>
  </si>
  <si>
    <t>CARTÓRIO</t>
  </si>
  <si>
    <t>TRANSPORTE ORNAMENTAÇÃO PORTARIA</t>
  </si>
  <si>
    <t>ENTREGA SEGURA</t>
  </si>
  <si>
    <t>IMPRESSÃO FECHAMENTO MENSAL</t>
  </si>
  <si>
    <t>Saldo das Contas Bancárias em 30.09</t>
  </si>
  <si>
    <t>SALDO DAS CONTAS BANCÁRIAS EM 30.10</t>
  </si>
  <si>
    <t>TOTAL SALDO EM 30.10</t>
  </si>
  <si>
    <t>CONTRATO CAMERAS - JOTASEG</t>
  </si>
  <si>
    <t>MELHORIA - CONCERTINA 240 MTS - PARCELA 1 DE 4</t>
  </si>
  <si>
    <t>MELHORIA - 250  BLOCOS 0,15 - ESCOAR AREA 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</si>
</sst>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6" xfId="0" applyBorder="1"/>
    <xf numFmtId="0" fontId="2" fillId="0" borderId="5" xfId="0" applyFont="1" applyBorder="1" applyAlignment="1">
      <alignment horizontal="center"/>
    </xf>
    <xf numFmtId="4" fontId="1" fillId="0" borderId="5" xfId="0" applyNumberFormat="1" applyFont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4" fontId="3" fillId="2" borderId="8" xfId="0" applyNumberFormat="1" applyFont="1" applyFill="1" applyBorder="1"/>
    <xf numFmtId="0" fontId="2" fillId="0" borderId="3" xfId="0" applyFont="1" applyBorder="1"/>
    <xf numFmtId="4" fontId="1" fillId="0" borderId="6" xfId="0" applyNumberFormat="1" applyFont="1" applyBorder="1"/>
    <xf numFmtId="0" fontId="2" fillId="0" borderId="4" xfId="0" applyFont="1" applyBorder="1"/>
    <xf numFmtId="0" fontId="1" fillId="0" borderId="9" xfId="0" applyFont="1" applyBorder="1"/>
    <xf numFmtId="0" fontId="2" fillId="0" borderId="1" xfId="0" applyFont="1" applyBorder="1"/>
    <xf numFmtId="4" fontId="1" fillId="0" borderId="2" xfId="0" applyNumberFormat="1" applyFont="1" applyBorder="1"/>
    <xf numFmtId="0" fontId="0" fillId="0" borderId="2" xfId="0" applyBorder="1" applyAlignment="1">
      <alignment horizontal="center"/>
    </xf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3" fillId="2" borderId="0" xfId="0" applyFont="1" applyFill="1" applyBorder="1" applyAlignment="1"/>
    <xf numFmtId="0" fontId="1" fillId="0" borderId="0" xfId="0" applyFont="1" applyBorder="1"/>
    <xf numFmtId="0" fontId="1" fillId="2" borderId="0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9" xfId="0" applyFont="1" applyFill="1" applyBorder="1"/>
    <xf numFmtId="0" fontId="1" fillId="0" borderId="1" xfId="0" applyFont="1" applyBorder="1"/>
    <xf numFmtId="4" fontId="3" fillId="2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6"/>
  <sheetViews>
    <sheetView tabSelected="1" workbookViewId="0">
      <selection activeCell="B56" sqref="B56"/>
    </sheetView>
  </sheetViews>
  <sheetFormatPr defaultRowHeight="15" x14ac:dyDescent="0.25"/>
  <cols>
    <col min="1" max="1" width="6.140625" customWidth="1"/>
    <col min="2" max="2" width="73.85546875" bestFit="1" customWidth="1"/>
    <col min="3" max="3" width="9.140625" bestFit="1" customWidth="1"/>
  </cols>
  <sheetData>
    <row r="1" spans="2:7" ht="19.5" thickBot="1" x14ac:dyDescent="0.35">
      <c r="B1" s="7" t="s">
        <v>42</v>
      </c>
      <c r="C1" s="8"/>
    </row>
    <row r="2" spans="2:7" ht="18.75" x14ac:dyDescent="0.3">
      <c r="B2" s="17" t="s">
        <v>13</v>
      </c>
      <c r="C2" s="18">
        <f>3786+1760</f>
        <v>5546</v>
      </c>
    </row>
    <row r="3" spans="2:7" ht="19.5" thickBot="1" x14ac:dyDescent="0.35">
      <c r="B3" s="19" t="s">
        <v>14</v>
      </c>
      <c r="C3" s="20">
        <v>1190.94</v>
      </c>
    </row>
    <row r="4" spans="2:7" ht="19.5" thickBot="1" x14ac:dyDescent="0.35">
      <c r="B4" s="21" t="s">
        <v>23</v>
      </c>
      <c r="C4" s="22">
        <f>SUM(C2:C3)</f>
        <v>6736.9400000000005</v>
      </c>
    </row>
    <row r="5" spans="2:7" ht="19.5" thickBot="1" x14ac:dyDescent="0.35">
      <c r="B5" s="1"/>
    </row>
    <row r="6" spans="2:7" ht="18.75" x14ac:dyDescent="0.3">
      <c r="B6" s="9" t="s">
        <v>15</v>
      </c>
      <c r="C6" s="10"/>
    </row>
    <row r="7" spans="2:7" ht="18.75" x14ac:dyDescent="0.3">
      <c r="B7" s="11" t="s">
        <v>10</v>
      </c>
      <c r="C7" s="12">
        <v>16398.240000000002</v>
      </c>
    </row>
    <row r="8" spans="2:7" ht="18.75" x14ac:dyDescent="0.3">
      <c r="B8" s="11" t="s">
        <v>17</v>
      </c>
      <c r="C8" s="12">
        <f>19802.2-C7</f>
        <v>3403.9599999999991</v>
      </c>
      <c r="E8" s="6"/>
      <c r="F8" s="6"/>
      <c r="G8" s="6"/>
    </row>
    <row r="9" spans="2:7" ht="18.75" x14ac:dyDescent="0.3">
      <c r="B9" s="11" t="s">
        <v>11</v>
      </c>
      <c r="C9" s="12">
        <f>C7+C8</f>
        <v>19802.2</v>
      </c>
      <c r="E9" s="6"/>
      <c r="F9" s="6"/>
      <c r="G9" s="6"/>
    </row>
    <row r="10" spans="2:7" ht="19.5" thickBot="1" x14ac:dyDescent="0.35">
      <c r="B10" s="1"/>
      <c r="E10" s="6"/>
      <c r="F10" s="6"/>
      <c r="G10" s="6"/>
    </row>
    <row r="11" spans="2:7" ht="19.5" thickBot="1" x14ac:dyDescent="0.35">
      <c r="B11" s="7" t="s">
        <v>16</v>
      </c>
      <c r="C11" s="23"/>
      <c r="E11" s="6"/>
      <c r="F11" s="6"/>
      <c r="G11" s="6"/>
    </row>
    <row r="12" spans="2:7" x14ac:dyDescent="0.25">
      <c r="B12" s="24" t="s">
        <v>45</v>
      </c>
      <c r="C12" s="25">
        <v>700</v>
      </c>
      <c r="E12" s="6"/>
      <c r="F12" s="30"/>
      <c r="G12" s="6"/>
    </row>
    <row r="13" spans="2:7" x14ac:dyDescent="0.25">
      <c r="B13" s="26" t="s">
        <v>24</v>
      </c>
      <c r="C13" s="27">
        <v>1640</v>
      </c>
      <c r="E13" s="6"/>
      <c r="F13" s="30"/>
      <c r="G13" s="6"/>
    </row>
    <row r="14" spans="2:7" x14ac:dyDescent="0.25">
      <c r="B14" s="26" t="s">
        <v>25</v>
      </c>
      <c r="C14" s="27">
        <v>850</v>
      </c>
      <c r="E14" s="6"/>
      <c r="F14" s="30"/>
      <c r="G14" s="6"/>
    </row>
    <row r="15" spans="2:7" x14ac:dyDescent="0.25">
      <c r="B15" s="26" t="s">
        <v>26</v>
      </c>
      <c r="C15" s="27">
        <v>800</v>
      </c>
      <c r="E15" s="6"/>
      <c r="F15" s="30"/>
      <c r="G15" s="6"/>
    </row>
    <row r="16" spans="2:7" x14ac:dyDescent="0.25">
      <c r="B16" s="26" t="s">
        <v>0</v>
      </c>
      <c r="C16" s="27">
        <v>456.74</v>
      </c>
      <c r="E16" s="6"/>
      <c r="F16" s="30"/>
      <c r="G16" s="6"/>
    </row>
    <row r="17" spans="2:7" x14ac:dyDescent="0.25">
      <c r="B17" s="26" t="s">
        <v>1</v>
      </c>
      <c r="C17" s="27">
        <v>572.02</v>
      </c>
      <c r="E17" s="6"/>
      <c r="F17" s="30"/>
      <c r="G17" s="6"/>
    </row>
    <row r="18" spans="2:7" x14ac:dyDescent="0.25">
      <c r="B18" s="26" t="s">
        <v>2</v>
      </c>
      <c r="C18" s="27">
        <v>829.19</v>
      </c>
      <c r="E18" s="6"/>
      <c r="F18" s="30"/>
      <c r="G18" s="6"/>
    </row>
    <row r="19" spans="2:7" x14ac:dyDescent="0.25">
      <c r="B19" s="26" t="s">
        <v>3</v>
      </c>
      <c r="C19" s="27">
        <v>35</v>
      </c>
      <c r="E19" s="6"/>
      <c r="F19" s="30"/>
      <c r="G19" s="6"/>
    </row>
    <row r="20" spans="2:7" x14ac:dyDescent="0.25">
      <c r="B20" s="26" t="s">
        <v>12</v>
      </c>
      <c r="C20" s="27">
        <v>1000</v>
      </c>
      <c r="E20" s="6"/>
      <c r="F20" s="30"/>
      <c r="G20" s="6"/>
    </row>
    <row r="21" spans="2:7" x14ac:dyDescent="0.25">
      <c r="B21" s="26" t="s">
        <v>4</v>
      </c>
      <c r="C21" s="27">
        <f>1800+450</f>
        <v>2250</v>
      </c>
      <c r="E21" s="6"/>
      <c r="F21" s="30"/>
      <c r="G21" s="6"/>
    </row>
    <row r="22" spans="2:7" x14ac:dyDescent="0.25">
      <c r="B22" s="26" t="s">
        <v>22</v>
      </c>
      <c r="C22" s="27">
        <v>1760</v>
      </c>
      <c r="E22" s="6"/>
      <c r="F22" s="30"/>
      <c r="G22" s="6"/>
    </row>
    <row r="23" spans="2:7" x14ac:dyDescent="0.25">
      <c r="B23" s="26" t="s">
        <v>18</v>
      </c>
      <c r="C23" s="27">
        <v>50</v>
      </c>
      <c r="E23" s="6"/>
      <c r="F23" s="30"/>
      <c r="G23" s="6"/>
    </row>
    <row r="24" spans="2:7" x14ac:dyDescent="0.25">
      <c r="B24" s="26" t="s">
        <v>5</v>
      </c>
      <c r="C24" s="27">
        <v>117.78</v>
      </c>
      <c r="E24" s="6"/>
      <c r="F24" s="30"/>
      <c r="G24" s="6"/>
    </row>
    <row r="25" spans="2:7" x14ac:dyDescent="0.25">
      <c r="B25" s="26" t="s">
        <v>6</v>
      </c>
      <c r="C25" s="27">
        <v>0</v>
      </c>
      <c r="E25" s="6"/>
      <c r="F25" s="30"/>
      <c r="G25" s="6"/>
    </row>
    <row r="26" spans="2:7" x14ac:dyDescent="0.25">
      <c r="B26" s="26" t="s">
        <v>7</v>
      </c>
      <c r="C26" s="27">
        <v>238</v>
      </c>
      <c r="E26" s="6"/>
      <c r="F26" s="30"/>
      <c r="G26" s="6"/>
    </row>
    <row r="27" spans="2:7" x14ac:dyDescent="0.25">
      <c r="B27" s="26" t="s">
        <v>9</v>
      </c>
      <c r="C27" s="27">
        <v>65.98</v>
      </c>
      <c r="E27" s="6"/>
      <c r="F27" s="30"/>
      <c r="G27" s="6"/>
    </row>
    <row r="28" spans="2:7" x14ac:dyDescent="0.25">
      <c r="B28" s="26" t="s">
        <v>21</v>
      </c>
      <c r="C28" s="27">
        <v>0</v>
      </c>
      <c r="E28" s="6"/>
      <c r="F28" s="30"/>
      <c r="G28" s="6"/>
    </row>
    <row r="29" spans="2:7" x14ac:dyDescent="0.25">
      <c r="B29" s="26" t="s">
        <v>27</v>
      </c>
      <c r="C29" s="27">
        <v>358.68</v>
      </c>
      <c r="E29" s="6"/>
      <c r="F29" s="30"/>
      <c r="G29" s="6"/>
    </row>
    <row r="30" spans="2:7" x14ac:dyDescent="0.25">
      <c r="B30" s="26" t="s">
        <v>28</v>
      </c>
      <c r="C30" s="27">
        <v>26.5</v>
      </c>
      <c r="E30" s="6"/>
      <c r="F30" s="30"/>
      <c r="G30" s="6"/>
    </row>
    <row r="31" spans="2:7" x14ac:dyDescent="0.25">
      <c r="B31" s="26" t="s">
        <v>47</v>
      </c>
      <c r="C31" s="27">
        <v>1172</v>
      </c>
      <c r="E31" s="6"/>
      <c r="F31" s="30"/>
      <c r="G31" s="6"/>
    </row>
    <row r="32" spans="2:7" x14ac:dyDescent="0.25">
      <c r="B32" s="26" t="s">
        <v>29</v>
      </c>
      <c r="C32" s="27">
        <v>900</v>
      </c>
      <c r="E32" s="6"/>
      <c r="F32" s="30"/>
      <c r="G32" s="6"/>
    </row>
    <row r="33" spans="2:7" x14ac:dyDescent="0.25">
      <c r="B33" s="26" t="s">
        <v>34</v>
      </c>
      <c r="C33" s="27">
        <v>250</v>
      </c>
      <c r="E33" s="6"/>
      <c r="F33" s="30"/>
      <c r="G33" s="6"/>
    </row>
    <row r="34" spans="2:7" x14ac:dyDescent="0.25">
      <c r="B34" s="26" t="s">
        <v>33</v>
      </c>
      <c r="C34" s="27">
        <v>315.87</v>
      </c>
      <c r="E34" s="6"/>
      <c r="F34" s="30"/>
      <c r="G34" s="6"/>
    </row>
    <row r="35" spans="2:7" x14ac:dyDescent="0.25">
      <c r="B35" s="26" t="s">
        <v>46</v>
      </c>
      <c r="C35" s="27">
        <v>1800</v>
      </c>
      <c r="E35" s="6"/>
      <c r="F35" s="30"/>
      <c r="G35" s="6"/>
    </row>
    <row r="36" spans="2:7" x14ac:dyDescent="0.25">
      <c r="B36" s="26" t="s">
        <v>32</v>
      </c>
      <c r="C36" s="27">
        <v>119.6</v>
      </c>
      <c r="E36" s="6"/>
      <c r="F36" s="30"/>
      <c r="G36" s="6"/>
    </row>
    <row r="37" spans="2:7" x14ac:dyDescent="0.25">
      <c r="B37" s="26" t="s">
        <v>30</v>
      </c>
      <c r="C37" s="27">
        <v>997.5</v>
      </c>
      <c r="E37" s="6"/>
      <c r="F37" s="30"/>
      <c r="G37" s="6"/>
    </row>
    <row r="38" spans="2:7" x14ac:dyDescent="0.25">
      <c r="B38" s="26" t="s">
        <v>31</v>
      </c>
      <c r="C38" s="27">
        <v>928</v>
      </c>
      <c r="E38" s="6"/>
      <c r="F38" s="30"/>
      <c r="G38" s="6"/>
    </row>
    <row r="39" spans="2:7" x14ac:dyDescent="0.25">
      <c r="B39" s="26" t="s">
        <v>35</v>
      </c>
      <c r="C39" s="27">
        <v>206.64</v>
      </c>
      <c r="E39" s="6"/>
      <c r="F39" s="30"/>
      <c r="G39" s="6"/>
    </row>
    <row r="40" spans="2:7" x14ac:dyDescent="0.25">
      <c r="B40" s="26" t="s">
        <v>36</v>
      </c>
      <c r="C40" s="27">
        <v>811.43</v>
      </c>
      <c r="E40" s="6"/>
      <c r="F40" s="30"/>
      <c r="G40" s="6"/>
    </row>
    <row r="41" spans="2:7" x14ac:dyDescent="0.25">
      <c r="B41" s="26" t="s">
        <v>37</v>
      </c>
      <c r="C41" s="28">
        <v>128.15</v>
      </c>
      <c r="E41" s="6"/>
      <c r="F41" s="31"/>
      <c r="G41" s="6"/>
    </row>
    <row r="42" spans="2:7" x14ac:dyDescent="0.25">
      <c r="B42" s="26" t="s">
        <v>8</v>
      </c>
      <c r="C42" s="28">
        <v>176</v>
      </c>
      <c r="E42" s="6"/>
      <c r="F42" s="31"/>
      <c r="G42" s="6"/>
    </row>
    <row r="43" spans="2:7" x14ac:dyDescent="0.25">
      <c r="B43" s="26" t="s">
        <v>41</v>
      </c>
      <c r="C43" s="28">
        <v>100</v>
      </c>
      <c r="E43" s="6"/>
      <c r="F43" s="31"/>
      <c r="G43" s="6"/>
    </row>
    <row r="44" spans="2:7" x14ac:dyDescent="0.25">
      <c r="B44" s="26" t="s">
        <v>40</v>
      </c>
      <c r="C44" s="27">
        <v>30</v>
      </c>
      <c r="E44" s="6"/>
      <c r="F44" s="30"/>
      <c r="G44" s="6"/>
    </row>
    <row r="45" spans="2:7" x14ac:dyDescent="0.25">
      <c r="B45" s="26" t="s">
        <v>19</v>
      </c>
      <c r="C45" s="27">
        <v>7.5</v>
      </c>
      <c r="E45" s="6"/>
      <c r="F45" s="30"/>
      <c r="G45" s="6"/>
    </row>
    <row r="46" spans="2:7" x14ac:dyDescent="0.25">
      <c r="B46" s="26" t="s">
        <v>38</v>
      </c>
      <c r="C46" s="27">
        <v>34.04</v>
      </c>
      <c r="E46" s="6"/>
      <c r="F46" s="30"/>
      <c r="G46" s="6"/>
    </row>
    <row r="47" spans="2:7" x14ac:dyDescent="0.25">
      <c r="B47" s="26" t="s">
        <v>39</v>
      </c>
      <c r="C47" s="27">
        <v>100</v>
      </c>
      <c r="E47" s="6"/>
      <c r="F47" s="30"/>
      <c r="G47" s="6"/>
    </row>
    <row r="48" spans="2:7" ht="15.75" thickBot="1" x14ac:dyDescent="0.3">
      <c r="B48" s="26"/>
      <c r="C48" s="27"/>
      <c r="E48" s="6"/>
      <c r="F48" s="6"/>
      <c r="G48" s="6"/>
    </row>
    <row r="49" spans="2:7" ht="15.75" thickBot="1" x14ac:dyDescent="0.3">
      <c r="B49" s="36"/>
      <c r="C49" s="8">
        <f>SUM(C12:C48)</f>
        <v>19826.620000000003</v>
      </c>
      <c r="E49" s="6"/>
      <c r="F49" s="6"/>
      <c r="G49" s="6"/>
    </row>
    <row r="50" spans="2:7" ht="15.75" thickBot="1" x14ac:dyDescent="0.3">
      <c r="C50" s="4"/>
      <c r="E50" s="6"/>
      <c r="F50" s="6"/>
      <c r="G50" s="6"/>
    </row>
    <row r="51" spans="2:7" ht="15.75" thickBot="1" x14ac:dyDescent="0.3">
      <c r="B51" s="3" t="s">
        <v>20</v>
      </c>
      <c r="C51" s="2"/>
      <c r="E51" s="6"/>
      <c r="F51" s="6"/>
      <c r="G51" s="6"/>
    </row>
    <row r="52" spans="2:7" ht="15.75" thickBot="1" x14ac:dyDescent="0.3">
      <c r="B52" s="29"/>
      <c r="C52" s="32"/>
      <c r="E52" s="6"/>
      <c r="F52" s="6"/>
      <c r="G52" s="6"/>
    </row>
    <row r="53" spans="2:7" x14ac:dyDescent="0.25">
      <c r="B53" s="33" t="s">
        <v>43</v>
      </c>
      <c r="C53" s="13"/>
      <c r="E53" s="6"/>
      <c r="F53" s="6"/>
      <c r="G53" s="6"/>
    </row>
    <row r="54" spans="2:7" x14ac:dyDescent="0.25">
      <c r="B54" s="14" t="s">
        <v>13</v>
      </c>
      <c r="C54" s="15">
        <f>5546+1760</f>
        <v>7306</v>
      </c>
      <c r="E54" s="6"/>
      <c r="F54" s="6"/>
      <c r="G54" s="6"/>
    </row>
    <row r="55" spans="2:7" x14ac:dyDescent="0.25">
      <c r="B55" s="14" t="s">
        <v>14</v>
      </c>
      <c r="C55" s="16">
        <v>1156.52</v>
      </c>
      <c r="E55" s="6"/>
      <c r="F55" s="6"/>
      <c r="G55" s="6"/>
    </row>
    <row r="56" spans="2:7" ht="15.75" thickBot="1" x14ac:dyDescent="0.3">
      <c r="B56" s="34" t="s">
        <v>44</v>
      </c>
      <c r="C56" s="37">
        <f>C54+C55</f>
        <v>8462.52</v>
      </c>
      <c r="E56" s="6"/>
      <c r="F56" s="6"/>
      <c r="G56" s="6"/>
    </row>
    <row r="57" spans="2:7" ht="15.75" thickBot="1" x14ac:dyDescent="0.3">
      <c r="B57" s="34"/>
      <c r="C57" s="35"/>
      <c r="E57" s="6"/>
      <c r="F57" s="6"/>
      <c r="G57" s="6"/>
    </row>
    <row r="58" spans="2:7" x14ac:dyDescent="0.25">
      <c r="B58" s="2"/>
      <c r="C58" s="2"/>
      <c r="E58" s="6"/>
      <c r="F58" s="6"/>
      <c r="G58" s="6"/>
    </row>
    <row r="59" spans="2:7" x14ac:dyDescent="0.25">
      <c r="B59" s="2"/>
      <c r="C59" s="2"/>
      <c r="E59" s="6"/>
      <c r="F59" s="6"/>
      <c r="G59" s="6"/>
    </row>
    <row r="60" spans="2:7" x14ac:dyDescent="0.25">
      <c r="B60" s="2"/>
      <c r="C60" s="2"/>
    </row>
    <row r="61" spans="2:7" x14ac:dyDescent="0.25">
      <c r="B61" s="2"/>
      <c r="C61" s="2"/>
    </row>
    <row r="62" spans="2:7" x14ac:dyDescent="0.25">
      <c r="B62" s="2"/>
      <c r="C62" s="5"/>
    </row>
    <row r="63" spans="2:7" x14ac:dyDescent="0.25">
      <c r="B63" s="5"/>
      <c r="C63" s="6"/>
    </row>
    <row r="64" spans="2:7" x14ac:dyDescent="0.25">
      <c r="B64" s="6"/>
      <c r="C64" s="6"/>
    </row>
    <row r="65" spans="2:3" x14ac:dyDescent="0.25">
      <c r="B65" s="6"/>
      <c r="C65" s="6"/>
    </row>
    <row r="66" spans="2:3" x14ac:dyDescent="0.25">
      <c r="B66" s="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OUT26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</dc:creator>
  <cp:lastModifiedBy>User</cp:lastModifiedBy>
  <cp:lastPrinted>2026-09-30T11:26:36Z</cp:lastPrinted>
  <dcterms:created xsi:type="dcterms:W3CDTF">2026-07-01T14:53:38Z</dcterms:created>
  <dcterms:modified xsi:type="dcterms:W3CDTF">2026-10-28T11:28:37Z</dcterms:modified>
</cp:coreProperties>
</file>